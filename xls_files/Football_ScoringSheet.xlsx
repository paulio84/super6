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2D828DD9-5FED-4419-ABB1-0736EFA225EE}" xr6:coauthVersionLast="47" xr6:coauthVersionMax="47" xr10:uidLastSave="{00000000-0000-0000-0000-000000000000}"/>
  <bookViews>
    <workbookView xWindow="-33960" yWindow="765" windowWidth="28800" windowHeight="1753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<sst xmlns="http://schemas.openxmlformats.org/spreadsheetml/2006/main" count="292" uniqueCount="138">
  <si>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</si>
  <si>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</si>
  <si>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</si>
  <si>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</si>
  <si>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</si>
  <si>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</si>
  <si>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</si>
  <si>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</si>
  <si>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</si>
  <si>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</si>
  <si>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</si>
  <si>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</si>
  <si>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</si>
  <si>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</si>
  <si>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</si>
  <si>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</si>
  <si>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</si>
  <si>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</si>
  <si>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</si>
  <si>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</si>
  <si>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</si>
  <si>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</si>
  <si>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</si>
  <si>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</si>
  <si>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</si>
  <si>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</si>
  <si>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</si>
  <si>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</si>
  <si>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</si>
  <si>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</si>
  <si>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</si>
  <si>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</si>
  <si>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</si>
  <si>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</si>
  <si>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</si>
  <si>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</si>
  <si>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</si>
  <si>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</si>
  <si>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</si>
  <si>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</si>
  <si>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</si>
  <si>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</si>
  <si>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</si>
  <si>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</si>
  <si>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</si>
  <si>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</si>
  <si>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</si>
  <si>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</si>
  <si>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</si>
  <si>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</si>
  <si>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</si>
  <si>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</si>
  <si>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</si>
  <si>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</si>
  <si>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</si>
  <si>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</si>
  <si>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</si>
  <si>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</si>
  <si>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</si>
  <si>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</si>
  <si>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</si>
  <si>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</si>
  <si>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</si>
  <si>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</si>
  <si>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</si>
  <si>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</si>
  <si>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</si>
  <si>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</si>
  <si>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</si>
  <si>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</si>
  <si>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</si>
  <si>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</si>
  <si>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</si>
  <si>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</si>
  <si>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</si>
  <si>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</si>
  <si>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</si>
  <si>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</si>
  <si>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</si>
  <si>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</si>
  <si>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</si>
  <si>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</si>
  <si>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</si>
  <si>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</si>
  <si>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</si>
  <si>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</si>
  <si>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</si>
  <si>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</si>
  <si>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</si>
  <si>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</si>
  <si>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</si>
  <si>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</si>
  <si>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</si>
  <si>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</si>
  <si>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</si>
  <si>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</si>
  <si>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</si>
  <si>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</si>
  <si>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</si>
  <si>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</si>
  <si>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</si>
  <si>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</si>
  <si>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</si>
  <si>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</si>
  <si>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</si>
  <si>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</si>
  <si>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</si>
  <si>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</si>
  <si>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</si>
  <si>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</si>
  <si>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</si>
  <si>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</si>
  <si>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</si>
  <si>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</si>
  <si>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</si>
  <si>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</si>
  <si>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</si>
  <si>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</si>
  <si>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</si>
  <si>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</si>
  <si>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</si>
  <si>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</si>
  <si>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</si>
  <si>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</si>
  <si>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</si>
  <si>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</si>
  <si>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</si>
  <si>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</si>
  <si>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</si>
  <si>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</si>
  <si>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</si>
  <si>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</si>
  <si>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Australia</t>
  </si>
  <si>
    <t>Cabo Verde</t>
  </si>
  <si>
    <t>Colombia</t>
  </si>
  <si>
    <t>Ghana</t>
  </si>
  <si>
    <t>Egypt W</t>
  </si>
  <si>
    <t>Argentina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</si>
</sst>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AC12" sqref="AC12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1</v>
      </c>
      <c r="E3" s="9">
        <v>1</v>
      </c>
      <c r="F3" s="8" t="s">
        <v>136</v>
      </c>
      <c r="G3" s="6" t="str">
        <f>IF(AND(D3=E3), "D", IF(AND(D3&gt;E3), "H W", "A W"))</f>
        <v>D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137</v>
      </c>
      <c r="D4" s="9">
        <v>1</v>
      </c>
      <c r="E4" s="9">
        <v>1</v>
      </c>
      <c r="F4" s="8" t="s">
        <v>133</v>
      </c>
      <c r="G4" s="6" t="str">
        <f t="shared" ref="G4:G6" si="0">IF(AND(D4=E4), "D", IF(AND(D4&gt;E4), "H W", "A W"))</f>
        <v>D</v>
      </c>
      <c r="J4" s="10" t="s">
        <v>116</v>
      </c>
      <c r="K4" s="9">
        <v>1</v>
      </c>
      <c r="L4" s="9">
        <v>2</v>
      </c>
      <c r="M4" s="9">
        <v>0</v>
      </c>
      <c r="N4" s="11" t="str">
        <f>IF(AND(K4=L4), "D", IF(AND(K4&gt;L4), "H W", "A W"))</f>
        <v>A W</v>
      </c>
      <c r="O4" s="12">
        <f>IF(AND(K4=$D$3,L4=$E$3), 3, IF(EXACT(N4,$G$3),2,0))</f>
        <v>0</v>
      </c>
      <c r="Q4" s="10" t="s">
        <v>116</v>
      </c>
      <c r="R4" s="9">
        <v>3</v>
      </c>
      <c r="S4" s="9">
        <v>0</v>
      </c>
      <c r="T4" s="9">
        <v>1</v>
      </c>
      <c r="U4" s="11" t="str">
        <f>IF(AND(R4=S4), "D", IF(AND(R4&gt;S4), "H W", "A W"))</f>
        <v>H W</v>
      </c>
      <c r="V4" s="12">
        <f>IF(AND(R4=$D$4,S4=$E$4), 3, IF(EXACT(U4,$G$4),2,0))</f>
        <v>0</v>
      </c>
    </row>
    <row r="5" spans="2:22" ht="25.5" customHeight="1" x14ac:dyDescent="0.25">
      <c r="B5" s="5" t="s">
        <v>113</v>
      </c>
      <c r="C5" s="8" t="s">
        <v>134</v>
      </c>
      <c r="D5" s="9">
        <v>1</v>
      </c>
      <c r="E5" s="9">
        <v>0</v>
      </c>
      <c r="F5" s="8" t="s">
        <v>135</v>
      </c>
      <c r="G5" s="6" t="str">
        <f t="shared" si="0"/>
        <v>H W</v>
      </c>
      <c r="J5" s="10" t="s">
        <v>117</v>
      </c>
      <c r="K5" s="9">
        <v>1</v>
      </c>
      <c r="L5" s="9">
        <v>1</v>
      </c>
      <c r="M5" s="9">
        <v>1</v>
      </c>
      <c r="N5" s="11" t="str">
        <f t="shared" ref="N5:N13" si="1">IF(AND(K5=L5), "D", IF(AND(K5&gt;L5), "H W", "A W"))</f>
        <v>D</v>
      </c>
      <c r="O5" s="12">
        <f t="shared" ref="O5:O13" si="2">IF(AND(K5=$D$3,L5=$E$3), 3, IF(EXACT(N5,$G$3),2,0))</f>
        <v>3</v>
      </c>
      <c r="Q5" s="10" t="s">
        <v>117</v>
      </c>
      <c r="R5" s="9">
        <v>4</v>
      </c>
      <c r="S5" s="9">
        <v>0</v>
      </c>
      <c r="T5" s="9">
        <v>1</v>
      </c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1</v>
      </c>
      <c r="L6" s="9">
        <v>3</v>
      </c>
      <c r="M6" s="9">
        <v>1</v>
      </c>
      <c r="N6" s="11" t="str">
        <f t="shared" si="1"/>
        <v>A W</v>
      </c>
      <c r="O6" s="12">
        <f t="shared" si="2"/>
        <v>0</v>
      </c>
      <c r="Q6" s="10" t="s">
        <v>118</v>
      </c>
      <c r="R6" s="9">
        <v>4</v>
      </c>
      <c r="S6" s="9">
        <v>1</v>
      </c>
      <c r="T6" s="9">
        <v>1</v>
      </c>
      <c r="U6" s="11" t="str">
        <f t="shared" si="3"/>
        <v>H W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1</v>
      </c>
      <c r="L7" s="9">
        <v>2</v>
      </c>
      <c r="M7" s="9">
        <v>1</v>
      </c>
      <c r="N7" s="11" t="str">
        <f t="shared" si="1"/>
        <v>A W</v>
      </c>
      <c r="O7" s="12">
        <f t="shared" si="2"/>
        <v>0</v>
      </c>
      <c r="Q7" s="10" t="s">
        <v>121</v>
      </c>
      <c r="R7" s="9">
        <v>4</v>
      </c>
      <c r="S7" s="9">
        <v>0</v>
      </c>
      <c r="T7" s="9">
        <v>1</v>
      </c>
      <c r="U7" s="11" t="str">
        <f t="shared" si="3"/>
        <v>H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1</v>
      </c>
      <c r="L8" s="9">
        <v>2</v>
      </c>
      <c r="M8" s="9">
        <v>1</v>
      </c>
      <c r="N8" s="11" t="str">
        <f t="shared" si="1"/>
        <v>A W</v>
      </c>
      <c r="O8" s="12">
        <f t="shared" si="2"/>
        <v>0</v>
      </c>
      <c r="Q8" s="10" t="s">
        <v>131</v>
      </c>
      <c r="R8" s="9">
        <v>4</v>
      </c>
      <c r="S8" s="9">
        <v>1</v>
      </c>
      <c r="T8" s="9">
        <v>1</v>
      </c>
      <c r="U8" s="11" t="str">
        <f t="shared" si="3"/>
        <v>H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2</v>
      </c>
      <c r="L9" s="9">
        <v>2</v>
      </c>
      <c r="M9" s="9">
        <v>1</v>
      </c>
      <c r="N9" s="11" t="str">
        <f t="shared" si="1"/>
        <v>D</v>
      </c>
      <c r="O9" s="12">
        <f t="shared" si="2"/>
        <v>2</v>
      </c>
      <c r="Q9" s="10" t="s">
        <v>122</v>
      </c>
      <c r="R9" s="9">
        <v>2</v>
      </c>
      <c r="S9" s="9">
        <v>2</v>
      </c>
      <c r="T9" s="9">
        <v>1</v>
      </c>
      <c r="U9" s="11" t="str">
        <f t="shared" si="3"/>
        <v>D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5</v>
      </c>
      <c r="L10" s="9">
        <v>1</v>
      </c>
      <c r="M10" s="9">
        <v>1</v>
      </c>
      <c r="N10" s="11" t="str">
        <f t="shared" si="1"/>
        <v>H W</v>
      </c>
      <c r="O10" s="12">
        <f t="shared" si="2"/>
        <v>0</v>
      </c>
      <c r="Q10" s="10" t="s">
        <v>123</v>
      </c>
      <c r="R10" s="9">
        <v>4</v>
      </c>
      <c r="S10" s="9">
        <v>4</v>
      </c>
      <c r="T10" s="9">
        <v>0</v>
      </c>
      <c r="U10" s="11" t="str">
        <f t="shared" si="3"/>
        <v>D</v>
      </c>
      <c r="V10" s="12">
        <f t="shared" si="4"/>
        <v>2</v>
      </c>
    </row>
    <row r="11" spans="2:22" ht="25.5" customHeight="1" x14ac:dyDescent="0.25">
      <c r="J11" s="10" t="s">
        <v>124</v>
      </c>
      <c r="K11" s="9">
        <v>1</v>
      </c>
      <c r="L11" s="9">
        <v>3</v>
      </c>
      <c r="M11" s="9">
        <v>1</v>
      </c>
      <c r="N11" s="11" t="str">
        <f t="shared" si="1"/>
        <v>A W</v>
      </c>
      <c r="O11" s="12">
        <f t="shared" si="2"/>
        <v>0</v>
      </c>
      <c r="Q11" s="10" t="s">
        <v>124</v>
      </c>
      <c r="R11" s="9">
        <v>2</v>
      </c>
      <c r="S11" s="9">
        <v>0</v>
      </c>
      <c r="T11" s="9">
        <v>1</v>
      </c>
      <c r="U11" s="11" t="str">
        <f t="shared" si="3"/>
        <v>H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1</v>
      </c>
      <c r="L12" s="9">
        <v>1</v>
      </c>
      <c r="M12" s="9">
        <v>0</v>
      </c>
      <c r="N12" s="11" t="str">
        <f t="shared" si="1"/>
        <v>D</v>
      </c>
      <c r="O12" s="12">
        <f t="shared" si="2"/>
        <v>3</v>
      </c>
      <c r="Q12" s="10" t="s">
        <v>125</v>
      </c>
      <c r="R12" s="9">
        <v>4</v>
      </c>
      <c r="S12" s="9">
        <v>1</v>
      </c>
      <c r="T12" s="9">
        <v>1</v>
      </c>
      <c r="U12" s="11" t="str">
        <f t="shared" si="3"/>
        <v>H W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2</v>
      </c>
      <c r="L13" s="9">
        <v>3</v>
      </c>
      <c r="M13" s="9">
        <v>1</v>
      </c>
      <c r="N13" s="11" t="str">
        <f t="shared" si="1"/>
        <v>A W</v>
      </c>
      <c r="O13" s="12">
        <f t="shared" si="2"/>
        <v>0</v>
      </c>
      <c r="Q13" s="10" t="s">
        <v>126</v>
      </c>
      <c r="R13" s="9">
        <v>4</v>
      </c>
      <c r="S13" s="9">
        <v>1</v>
      </c>
      <c r="T13" s="9">
        <v>1</v>
      </c>
      <c r="U13" s="11" t="str">
        <f t="shared" si="3"/>
        <v>H W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3</v>
      </c>
      <c r="L17" s="9">
        <v>1</v>
      </c>
      <c r="M17" s="9"/>
      <c r="N17" s="11" t="str">
        <f>IF(AND(K17=L17), "D", IF(AND(K17&gt;L17), "H W", "A W"))</f>
        <v>H W</v>
      </c>
      <c r="O17" s="12">
        <f t="shared" ref="O17:O26" si="5">IF(AND(K17=$D$5,L17=$E$5), 3, IF(EXACT(N17,$G$5),2,0))</f>
        <v>2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>
        <v>1</v>
      </c>
      <c r="L18" s="9">
        <v>0</v>
      </c>
      <c r="M18" s="9"/>
      <c r="N18" s="11" t="str">
        <f t="shared" ref="N18:N26" si="6">IF(AND(K18=L18), "D", IF(AND(K18&gt;L18), "H W", "A W"))</f>
        <v>H W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>
        <v>2</v>
      </c>
      <c r="L19" s="9">
        <v>2</v>
      </c>
      <c r="M19" s="9"/>
      <c r="N19" s="11" t="str">
        <f t="shared" si="6"/>
        <v>D</v>
      </c>
      <c r="O19" s="12">
        <f t="shared" si="5"/>
        <v>0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>
        <v>1</v>
      </c>
      <c r="L20" s="9">
        <v>0</v>
      </c>
      <c r="M20" s="9"/>
      <c r="N20" s="11" t="str">
        <f t="shared" si="6"/>
        <v>H W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>
        <v>1</v>
      </c>
      <c r="L21" s="9">
        <v>2</v>
      </c>
      <c r="M21" s="9"/>
      <c r="N21" s="11" t="str">
        <f t="shared" si="6"/>
        <v>A W</v>
      </c>
      <c r="O21" s="12">
        <f t="shared" si="5"/>
        <v>0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>
        <v>1</v>
      </c>
      <c r="L22" s="9">
        <v>1</v>
      </c>
      <c r="M22" s="9"/>
      <c r="N22" s="11" t="str">
        <f t="shared" si="6"/>
        <v>D</v>
      </c>
      <c r="O22" s="12">
        <f t="shared" si="5"/>
        <v>0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>
        <v>2</v>
      </c>
      <c r="L23" s="9">
        <v>4</v>
      </c>
      <c r="M23" s="9"/>
      <c r="N23" s="11" t="str">
        <f t="shared" si="6"/>
        <v>A W</v>
      </c>
      <c r="O23" s="12">
        <f t="shared" si="5"/>
        <v>0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>
        <v>3</v>
      </c>
      <c r="L24" s="9">
        <v>2</v>
      </c>
      <c r="M24" s="9"/>
      <c r="N24" s="11" t="str">
        <f t="shared" si="6"/>
        <v>H W</v>
      </c>
      <c r="O24" s="12">
        <f t="shared" si="5"/>
        <v>2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>
        <v>2</v>
      </c>
      <c r="L25" s="9">
        <v>1</v>
      </c>
      <c r="M25" s="9"/>
      <c r="N25" s="11" t="str">
        <f t="shared" si="6"/>
        <v>H W</v>
      </c>
      <c r="O25" s="12">
        <f t="shared" si="5"/>
        <v>2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>
        <v>3</v>
      </c>
      <c r="L26" s="9">
        <v>1</v>
      </c>
      <c r="M26" s="9"/>
      <c r="N26" s="11" t="str">
        <f t="shared" si="6"/>
        <v>H W</v>
      </c>
      <c r="O26" s="12">
        <f t="shared" si="5"/>
        <v>2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2026-07-04T09:39:14Z</dcterms:modified>
</cp:coreProperties>
</file>